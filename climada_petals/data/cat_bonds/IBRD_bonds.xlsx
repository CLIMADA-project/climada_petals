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be\Documents\ETH_Zurich\Thesis\Data\"/>
    </mc:Choice>
  </mc:AlternateContent>
  <xr:revisionPtr revIDLastSave="0" documentId="13_ncr:1_{9EA06169-A68D-42D0-85BF-BEEF608C4221}" xr6:coauthVersionLast="47" xr6:coauthVersionMax="47" xr10:uidLastSave="{00000000-0000-0000-0000-000000000000}"/>
  <bookViews>
    <workbookView xWindow="-110" yWindow="-110" windowWidth="19420" windowHeight="11500" xr2:uid="{681ECD96-681E-4668-8D9A-D70345377EA9}"/>
  </bookViews>
  <sheets>
    <sheet name="Sheet1" sheetId="1" r:id="rId1"/>
  </sheets>
  <definedNames>
    <definedName name="_xlnm._FilterDatabase" localSheetId="0" hidden="1">Sheet1!$A$1:$I$24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" i="1"/>
</calcChain>
</file>

<file path=xl/sharedStrings.xml><?xml version="1.0" encoding="utf-8"?>
<sst xmlns="http://schemas.openxmlformats.org/spreadsheetml/2006/main" count="97" uniqueCount="39">
  <si>
    <t>Name</t>
  </si>
  <si>
    <t>Premium</t>
  </si>
  <si>
    <t>Expected Loss</t>
  </si>
  <si>
    <t>Attachment Probability</t>
  </si>
  <si>
    <t>IBRD CAR Mexico 2024 (Pacific)</t>
  </si>
  <si>
    <t>Peril</t>
  </si>
  <si>
    <t>Storm</t>
  </si>
  <si>
    <t>IBRD CAR Jamaica 2024</t>
  </si>
  <si>
    <t>IBRD CAR Mexico 2024</t>
  </si>
  <si>
    <t>Tranche</t>
  </si>
  <si>
    <t>A</t>
  </si>
  <si>
    <t>B</t>
  </si>
  <si>
    <t>C</t>
  </si>
  <si>
    <t>Earthquake</t>
  </si>
  <si>
    <t>IBRD – Chile 2023</t>
  </si>
  <si>
    <t>IBRD CAR 130 - Jamaica</t>
  </si>
  <si>
    <t>IBRD / FONDEN 2020 - Mexico</t>
  </si>
  <si>
    <t>D</t>
  </si>
  <si>
    <t>IBRD CAR 123 - Philippine</t>
  </si>
  <si>
    <t>IBRD CAR 124 - Philippine</t>
  </si>
  <si>
    <t>IBRD CAR 120 - Peru</t>
  </si>
  <si>
    <t>IBRD CAR 118 - Mexico</t>
  </si>
  <si>
    <t>IBRD CAR 119 - Mexico</t>
  </si>
  <si>
    <t>IBRD CAR 117 - Colombia</t>
  </si>
  <si>
    <t>IBRD CAR 116 - Chile</t>
  </si>
  <si>
    <t>IBRD / FONDEN 2017 - Mexico</t>
  </si>
  <si>
    <t>IBRD CAR 112 - Pandemic</t>
  </si>
  <si>
    <t>IBRD CAR 111 - Pandemic</t>
  </si>
  <si>
    <t>Pandemic</t>
  </si>
  <si>
    <t>Risk Multiple</t>
  </si>
  <si>
    <t>2024</t>
  </si>
  <si>
    <t>2023</t>
  </si>
  <si>
    <t>2021</t>
  </si>
  <si>
    <t>2020</t>
  </si>
  <si>
    <t>2019</t>
  </si>
  <si>
    <t>2018</t>
  </si>
  <si>
    <t>2017</t>
  </si>
  <si>
    <t>Size [mUSD]</t>
  </si>
  <si>
    <t>Issuing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</si>
</sst>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0" fillId="0" borderId="0" xfId="0" applyNumberForma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391E1-9BA7-42CD-8D9D-B3C246C1281C}">
  <dimension ref="A1:I24"/>
  <sheetViews>
    <sheetView tabSelected="1" zoomScale="91" workbookViewId="0">
      <selection activeCell="B1" sqref="B1"/>
    </sheetView>
  </sheetViews>
  <sheetFormatPr defaultRowHeight="14.5" x14ac:dyDescent="0.35"/>
  <cols>
    <col min="1" max="1" width="30.26953125" customWidth="1"/>
    <col min="5" max="5" width="16.81640625" customWidth="1"/>
    <col min="6" max="6" width="20.6328125" customWidth="1"/>
    <col min="7" max="7" width="12.81640625" customWidth="1"/>
    <col min="9" max="9" width="13.36328125" customWidth="1"/>
  </cols>
  <sheetData>
    <row r="1" spans="1:9" x14ac:dyDescent="0.35">
      <c r="A1" t="s">
        <v>0</v>
      </c>
      <c r="B1" s="3" t="s">
        <v>38</v>
      </c>
      <c r="C1" t="s">
        <v>9</v>
      </c>
      <c r="D1" t="s">
        <v>37</v>
      </c>
      <c r="E1" t="s">
        <v>5</v>
      </c>
      <c r="F1" t="s">
        <v>3</v>
      </c>
      <c r="G1" t="s">
        <v>2</v>
      </c>
      <c r="H1" t="s">
        <v>1</v>
      </c>
      <c r="I1" t="s">
        <v>29</v>
      </c>
    </row>
    <row r="2" spans="1:9" x14ac:dyDescent="0.35">
      <c r="A2" t="s">
        <v>4</v>
      </c>
      <c r="B2" s="4">
        <v>2024</v>
      </c>
      <c r="C2" s="1" t="s">
        <v>10</v>
      </c>
      <c r="D2" s="1">
        <v>175</v>
      </c>
      <c r="E2" s="1" t="s">
        <v>6</v>
      </c>
      <c r="F2">
        <v>6.26</v>
      </c>
      <c r="G2">
        <v>4.09</v>
      </c>
      <c r="H2" s="1">
        <v>12</v>
      </c>
      <c r="I2">
        <f>H2/G2</f>
        <v>2.9339853300733498</v>
      </c>
    </row>
    <row r="3" spans="1:9" x14ac:dyDescent="0.35">
      <c r="A3" t="s">
        <v>7</v>
      </c>
      <c r="B3" s="3">
        <v>2024</v>
      </c>
      <c r="C3" t="s">
        <v>10</v>
      </c>
      <c r="D3">
        <v>150</v>
      </c>
      <c r="E3" t="s">
        <v>6</v>
      </c>
      <c r="F3">
        <v>2.34</v>
      </c>
      <c r="G3">
        <v>1.5</v>
      </c>
      <c r="H3">
        <v>7</v>
      </c>
      <c r="I3">
        <f t="shared" ref="I3:I24" si="0">H3/G3</f>
        <v>4.666666666666667</v>
      </c>
    </row>
    <row r="4" spans="1:9" x14ac:dyDescent="0.35">
      <c r="A4" t="s">
        <v>8</v>
      </c>
      <c r="B4" s="3">
        <v>2024</v>
      </c>
      <c r="C4" s="2" t="s">
        <v>10</v>
      </c>
      <c r="D4">
        <v>225</v>
      </c>
      <c r="E4" t="s">
        <v>13</v>
      </c>
      <c r="F4">
        <v>1.17</v>
      </c>
      <c r="G4">
        <v>0.9</v>
      </c>
      <c r="H4">
        <v>4</v>
      </c>
      <c r="I4">
        <f t="shared" si="0"/>
        <v>4.4444444444444446</v>
      </c>
    </row>
    <row r="5" spans="1:9" x14ac:dyDescent="0.35">
      <c r="A5" t="s">
        <v>8</v>
      </c>
      <c r="B5" s="3">
        <v>2024</v>
      </c>
      <c r="C5" t="s">
        <v>11</v>
      </c>
      <c r="D5">
        <v>70</v>
      </c>
      <c r="E5" t="s">
        <v>13</v>
      </c>
      <c r="F5">
        <v>8.3000000000000007</v>
      </c>
      <c r="G5">
        <v>5.84</v>
      </c>
      <c r="H5">
        <v>11</v>
      </c>
      <c r="I5">
        <f t="shared" si="0"/>
        <v>1.8835616438356164</v>
      </c>
    </row>
    <row r="6" spans="1:9" x14ac:dyDescent="0.35">
      <c r="A6" t="s">
        <v>8</v>
      </c>
      <c r="B6" s="3" t="s">
        <v>30</v>
      </c>
      <c r="C6" t="s">
        <v>12</v>
      </c>
      <c r="D6">
        <v>125</v>
      </c>
      <c r="E6" t="s">
        <v>6</v>
      </c>
      <c r="F6">
        <v>7.96</v>
      </c>
      <c r="G6">
        <v>5.69</v>
      </c>
      <c r="H6">
        <v>13.5</v>
      </c>
      <c r="I6">
        <f t="shared" si="0"/>
        <v>2.3725834797891037</v>
      </c>
    </row>
    <row r="7" spans="1:9" x14ac:dyDescent="0.35">
      <c r="A7" t="s">
        <v>14</v>
      </c>
      <c r="B7" s="3" t="s">
        <v>31</v>
      </c>
      <c r="C7" t="s">
        <v>10</v>
      </c>
      <c r="D7">
        <v>350</v>
      </c>
      <c r="E7" t="s">
        <v>13</v>
      </c>
      <c r="F7">
        <v>1.48</v>
      </c>
      <c r="G7">
        <v>1</v>
      </c>
      <c r="H7">
        <v>4.75</v>
      </c>
      <c r="I7">
        <f t="shared" si="0"/>
        <v>4.75</v>
      </c>
    </row>
    <row r="8" spans="1:9" x14ac:dyDescent="0.35">
      <c r="A8" t="s">
        <v>15</v>
      </c>
      <c r="B8" s="3" t="s">
        <v>32</v>
      </c>
      <c r="C8" t="s">
        <v>10</v>
      </c>
      <c r="D8">
        <v>185</v>
      </c>
      <c r="E8" t="s">
        <v>6</v>
      </c>
      <c r="G8">
        <v>1.52</v>
      </c>
      <c r="H8">
        <v>4.4000000000000004</v>
      </c>
      <c r="I8">
        <f t="shared" si="0"/>
        <v>2.8947368421052633</v>
      </c>
    </row>
    <row r="9" spans="1:9" x14ac:dyDescent="0.35">
      <c r="A9" t="s">
        <v>16</v>
      </c>
      <c r="B9" s="3" t="s">
        <v>33</v>
      </c>
      <c r="C9" t="s">
        <v>10</v>
      </c>
      <c r="D9">
        <v>175</v>
      </c>
      <c r="E9" t="s">
        <v>13</v>
      </c>
      <c r="G9">
        <v>0.9</v>
      </c>
      <c r="H9">
        <v>3.5</v>
      </c>
      <c r="I9">
        <f t="shared" si="0"/>
        <v>3.8888888888888888</v>
      </c>
    </row>
    <row r="10" spans="1:9" x14ac:dyDescent="0.35">
      <c r="A10" t="s">
        <v>16</v>
      </c>
      <c r="B10" s="3" t="s">
        <v>33</v>
      </c>
      <c r="C10" t="s">
        <v>11</v>
      </c>
      <c r="D10">
        <v>60</v>
      </c>
      <c r="E10" t="s">
        <v>13</v>
      </c>
      <c r="G10">
        <v>5.78</v>
      </c>
      <c r="H10">
        <v>9</v>
      </c>
      <c r="I10">
        <f t="shared" si="0"/>
        <v>1.5570934256055362</v>
      </c>
    </row>
    <row r="11" spans="1:9" x14ac:dyDescent="0.35">
      <c r="A11" t="s">
        <v>16</v>
      </c>
      <c r="B11" s="3" t="s">
        <v>33</v>
      </c>
      <c r="C11" t="s">
        <v>12</v>
      </c>
      <c r="D11">
        <v>125</v>
      </c>
      <c r="E11" t="s">
        <v>6</v>
      </c>
      <c r="G11">
        <v>5.61</v>
      </c>
      <c r="H11">
        <v>10</v>
      </c>
      <c r="I11">
        <f t="shared" si="0"/>
        <v>1.7825311942959001</v>
      </c>
    </row>
    <row r="12" spans="1:9" x14ac:dyDescent="0.35">
      <c r="A12" t="s">
        <v>16</v>
      </c>
      <c r="B12" s="3" t="s">
        <v>33</v>
      </c>
      <c r="C12" t="s">
        <v>17</v>
      </c>
      <c r="D12">
        <v>100</v>
      </c>
      <c r="E12" t="s">
        <v>6</v>
      </c>
      <c r="G12">
        <v>4.0599999999999996</v>
      </c>
      <c r="H12">
        <v>6.5</v>
      </c>
      <c r="I12">
        <f t="shared" si="0"/>
        <v>1.600985221674877</v>
      </c>
    </row>
    <row r="13" spans="1:9" x14ac:dyDescent="0.35">
      <c r="A13" t="s">
        <v>18</v>
      </c>
      <c r="B13" s="3" t="s">
        <v>34</v>
      </c>
      <c r="C13" t="s">
        <v>10</v>
      </c>
      <c r="D13">
        <v>75</v>
      </c>
      <c r="E13" t="s">
        <v>13</v>
      </c>
      <c r="F13">
        <v>5.3</v>
      </c>
      <c r="G13">
        <v>3</v>
      </c>
      <c r="H13">
        <v>5.5</v>
      </c>
      <c r="I13">
        <f t="shared" si="0"/>
        <v>1.8333333333333333</v>
      </c>
    </row>
    <row r="14" spans="1:9" x14ac:dyDescent="0.35">
      <c r="A14" t="s">
        <v>19</v>
      </c>
      <c r="B14" s="3" t="s">
        <v>34</v>
      </c>
      <c r="C14" t="s">
        <v>11</v>
      </c>
      <c r="D14">
        <v>150</v>
      </c>
      <c r="E14" t="s">
        <v>6</v>
      </c>
      <c r="F14">
        <v>5.3</v>
      </c>
      <c r="G14">
        <v>3</v>
      </c>
      <c r="H14">
        <v>5.65</v>
      </c>
      <c r="I14">
        <f t="shared" si="0"/>
        <v>1.8833333333333335</v>
      </c>
    </row>
    <row r="15" spans="1:9" x14ac:dyDescent="0.35">
      <c r="A15" t="s">
        <v>20</v>
      </c>
      <c r="B15" s="3" t="s">
        <v>35</v>
      </c>
      <c r="C15" t="s">
        <v>10</v>
      </c>
      <c r="D15">
        <v>200</v>
      </c>
      <c r="E15" t="s">
        <v>13</v>
      </c>
      <c r="F15">
        <v>7.14</v>
      </c>
      <c r="G15">
        <v>5</v>
      </c>
      <c r="H15">
        <v>6</v>
      </c>
      <c r="I15">
        <f t="shared" si="0"/>
        <v>1.2</v>
      </c>
    </row>
    <row r="16" spans="1:9" x14ac:dyDescent="0.35">
      <c r="A16" t="s">
        <v>21</v>
      </c>
      <c r="B16" s="3" t="s">
        <v>35</v>
      </c>
      <c r="C16" t="s">
        <v>10</v>
      </c>
      <c r="D16">
        <v>160</v>
      </c>
      <c r="E16" t="s">
        <v>13</v>
      </c>
      <c r="F16">
        <v>1.0900000000000001</v>
      </c>
      <c r="G16">
        <v>0.79</v>
      </c>
      <c r="H16">
        <v>2.5</v>
      </c>
      <c r="I16">
        <f t="shared" si="0"/>
        <v>3.1645569620253164</v>
      </c>
    </row>
    <row r="17" spans="1:9" x14ac:dyDescent="0.35">
      <c r="A17" t="s">
        <v>22</v>
      </c>
      <c r="B17" s="3" t="s">
        <v>35</v>
      </c>
      <c r="C17" t="s">
        <v>11</v>
      </c>
      <c r="D17">
        <v>100</v>
      </c>
      <c r="E17" t="s">
        <v>13</v>
      </c>
      <c r="F17">
        <v>8.25</v>
      </c>
      <c r="G17">
        <v>6.54</v>
      </c>
      <c r="H17">
        <v>8.25</v>
      </c>
      <c r="I17">
        <f t="shared" si="0"/>
        <v>1.261467889908257</v>
      </c>
    </row>
    <row r="18" spans="1:9" x14ac:dyDescent="0.35">
      <c r="A18" t="s">
        <v>23</v>
      </c>
      <c r="B18" s="3" t="s">
        <v>35</v>
      </c>
      <c r="C18" t="s">
        <v>10</v>
      </c>
      <c r="D18">
        <v>400</v>
      </c>
      <c r="E18" t="s">
        <v>13</v>
      </c>
      <c r="F18">
        <v>2.78</v>
      </c>
      <c r="G18">
        <v>1.56</v>
      </c>
      <c r="H18">
        <v>3</v>
      </c>
      <c r="I18">
        <f t="shared" si="0"/>
        <v>1.9230769230769229</v>
      </c>
    </row>
    <row r="19" spans="1:9" x14ac:dyDescent="0.35">
      <c r="A19" t="s">
        <v>24</v>
      </c>
      <c r="B19" s="3" t="s">
        <v>35</v>
      </c>
      <c r="C19" t="s">
        <v>10</v>
      </c>
      <c r="D19">
        <v>500</v>
      </c>
      <c r="E19" t="s">
        <v>13</v>
      </c>
      <c r="F19">
        <v>1.35</v>
      </c>
      <c r="G19">
        <v>0.86</v>
      </c>
      <c r="H19">
        <v>2.5</v>
      </c>
      <c r="I19">
        <f t="shared" si="0"/>
        <v>2.9069767441860463</v>
      </c>
    </row>
    <row r="20" spans="1:9" x14ac:dyDescent="0.35">
      <c r="A20" t="s">
        <v>25</v>
      </c>
      <c r="B20" s="3" t="s">
        <v>36</v>
      </c>
      <c r="C20" t="s">
        <v>10</v>
      </c>
      <c r="D20">
        <v>150</v>
      </c>
      <c r="E20" t="s">
        <v>13</v>
      </c>
      <c r="F20">
        <v>5.73</v>
      </c>
      <c r="G20">
        <v>3.43</v>
      </c>
      <c r="H20">
        <v>4.5</v>
      </c>
      <c r="I20">
        <f t="shared" si="0"/>
        <v>1.3119533527696792</v>
      </c>
    </row>
    <row r="21" spans="1:9" x14ac:dyDescent="0.35">
      <c r="A21" t="s">
        <v>25</v>
      </c>
      <c r="B21" s="3" t="s">
        <v>36</v>
      </c>
      <c r="C21" t="s">
        <v>11</v>
      </c>
      <c r="D21">
        <v>100</v>
      </c>
      <c r="E21" t="s">
        <v>6</v>
      </c>
      <c r="F21">
        <v>7.97</v>
      </c>
      <c r="G21">
        <v>5.56</v>
      </c>
      <c r="H21">
        <v>9.3000000000000007</v>
      </c>
      <c r="I21">
        <f t="shared" si="0"/>
        <v>1.6726618705035974</v>
      </c>
    </row>
    <row r="22" spans="1:9" x14ac:dyDescent="0.35">
      <c r="A22" t="s">
        <v>25</v>
      </c>
      <c r="B22" s="3" t="s">
        <v>36</v>
      </c>
      <c r="C22" t="s">
        <v>12</v>
      </c>
      <c r="D22">
        <v>110</v>
      </c>
      <c r="E22" t="s">
        <v>6</v>
      </c>
      <c r="F22">
        <v>5.8</v>
      </c>
      <c r="G22">
        <v>3.96</v>
      </c>
      <c r="H22">
        <v>5.9</v>
      </c>
      <c r="I22">
        <f t="shared" si="0"/>
        <v>1.4898989898989901</v>
      </c>
    </row>
    <row r="23" spans="1:9" x14ac:dyDescent="0.35">
      <c r="A23" t="s">
        <v>27</v>
      </c>
      <c r="B23" s="3" t="s">
        <v>36</v>
      </c>
      <c r="C23" t="s">
        <v>10</v>
      </c>
      <c r="D23">
        <v>225</v>
      </c>
      <c r="E23" t="s">
        <v>28</v>
      </c>
      <c r="F23">
        <v>4.92</v>
      </c>
      <c r="G23">
        <v>3.57</v>
      </c>
      <c r="H23">
        <v>6.9</v>
      </c>
      <c r="I23">
        <f t="shared" si="0"/>
        <v>1.9327731092436977</v>
      </c>
    </row>
    <row r="24" spans="1:9" x14ac:dyDescent="0.35">
      <c r="A24" t="s">
        <v>26</v>
      </c>
      <c r="B24" s="3" t="s">
        <v>36</v>
      </c>
      <c r="C24" t="s">
        <v>11</v>
      </c>
      <c r="D24">
        <v>95</v>
      </c>
      <c r="E24" t="s">
        <v>28</v>
      </c>
      <c r="F24">
        <v>9.44</v>
      </c>
      <c r="G24">
        <v>7.74</v>
      </c>
      <c r="H24">
        <v>11.5</v>
      </c>
      <c r="I24">
        <f t="shared" si="0"/>
        <v>1.4857881136950903</v>
      </c>
    </row>
  </sheetData>
  <autoFilter ref="A1:I24" xr:uid="{079391E1-9BA7-42CD-8D9D-B3C246C1281C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Bergmüller  Kai</dc:creator>
  <cp:lastModifiedBy>Bergmüller  Kai</cp:lastModifiedBy>
  <dcterms:created xsi:type="dcterms:W3CDTF">2024-09-03T07:58:16Z</dcterms:created>
  <dcterms:modified xsi:type="dcterms:W3CDTF">2024-12-19T16:50:02Z</dcterms:modified>
</cp:coreProperties>
</file>